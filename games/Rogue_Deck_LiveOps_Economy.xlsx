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Profiles" sheetId="3" state="visible" r:id="rId5"/>
    <sheet name="Monetization" sheetId="4" state="visible" r:id="rId6"/>
    <sheet name="Pack Odds" sheetId="5" state="visible" r:id="rId7"/>
    <sheet name="Crafting" sheetId="6" state="visible" r:id="rId8"/>
    <sheet name="Collection Sim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<sst xmlns="http://schemas.openxmlformats.org/spreadsheetml/2006/main" count="197" uniqueCount="165">
  <si>
    <t xml:space="preserve">Rogue Deck – LiveOps Economy Model</t>
  </si>
  <si>
    <t xml:space="preserve">Design exercise for markherdt.dev. All values are assumptions unless noted.</t>
  </si>
  <si>
    <t xml:space="preserve">How to use</t>
  </si>
  <si>
    <t xml:space="preserve">Blue cells on a yellow background are inputs. Change them and every other sheet recalculates.</t>
  </si>
  <si>
    <t xml:space="preserve">Black cells are formulas. Green cells pull values from another sheet.</t>
  </si>
  <si>
    <t xml:space="preserve">Sheets</t>
  </si>
  <si>
    <t xml:space="preserve">Assumptions</t>
  </si>
  <si>
    <t xml:space="preserve">Economy parameters: rewards, caps, prices.</t>
  </si>
  <si>
    <t xml:space="preserve">Profiles</t>
  </si>
  <si>
    <t xml:space="preserve">Monthly gold and pack income per player profile (free and paying).</t>
  </si>
  <si>
    <t xml:space="preserve">Monetization</t>
  </si>
  <si>
    <t xml:space="preserve">Gem bundles, price per pack, and offer value.</t>
  </si>
  <si>
    <t xml:space="preserve">Pack Odds</t>
  </si>
  <si>
    <t xml:space="preserve">Rarity and art-tier odds per card and per pack.</t>
  </si>
  <si>
    <t xml:space="preserve">Crafting</t>
  </si>
  <si>
    <t xml:space="preserve">Dismantle and craft values per rarity.</t>
  </si>
  <si>
    <t xml:space="preserve">Collection Sim</t>
  </si>
  <si>
    <t xml:space="preserve">Monte Carlo output (Python, 300 runs): collection progress per profile over 6 months. Static values.</t>
  </si>
  <si>
    <t xml:space="preserve">Sources</t>
  </si>
  <si>
    <t xml:space="preserve">Match length (15 min), rarity weights 8/4/2/1, effect counts (35 card variants, 26 Rogue variants): Rogue Deck game data / designer.</t>
  </si>
  <si>
    <t xml:space="preserve">Free-pack target of 1–2 per day (~30/month): designer target.</t>
  </si>
  <si>
    <t xml:space="preserve">Parameter</t>
  </si>
  <si>
    <t xml:space="preserve">Value</t>
  </si>
  <si>
    <t xml:space="preserve">Unit</t>
  </si>
  <si>
    <t xml:space="preserve">Note</t>
  </si>
  <si>
    <t xml:space="preserve">Match length</t>
  </si>
  <si>
    <t xml:space="preserve">min</t>
  </si>
  <si>
    <t xml:space="preserve">Designer estimate, 2–4 players</t>
  </si>
  <si>
    <t xml:space="preserve">Win rate</t>
  </si>
  <si>
    <t xml:space="preserve">%</t>
  </si>
  <si>
    <t xml:space="preserve">Matchmaking target</t>
  </si>
  <si>
    <t xml:space="preserve">Gold per win</t>
  </si>
  <si>
    <t xml:space="preserve">gold</t>
  </si>
  <si>
    <t xml:space="preserve">Gold per loss</t>
  </si>
  <si>
    <t xml:space="preserve">Small reward so losing still progresses</t>
  </si>
  <si>
    <t xml:space="preserve">Daily cap on match gold</t>
  </si>
  <si>
    <t xml:space="preserve">gold/day</t>
  </si>
  <si>
    <t xml:space="preserve">Anti-botting; keeps quests and gems relevant</t>
  </si>
  <si>
    <t xml:space="preserve">Daily quests required</t>
  </si>
  <si>
    <t xml:space="preserve">quests</t>
  </si>
  <si>
    <t xml:space="preserve">5 offered, 3 required</t>
  </si>
  <si>
    <t xml:space="preserve">Gold per daily quest</t>
  </si>
  <si>
    <t xml:space="preserve">Bonus for all 5 daily quests</t>
  </si>
  <si>
    <t xml:space="preserve">Bonus, not the main reward</t>
  </si>
  <si>
    <t xml:space="preserve">Weekly quests required</t>
  </si>
  <si>
    <t xml:space="preserve">6 offered, 4 required</t>
  </si>
  <si>
    <t xml:space="preserve">Gold per weekly quest</t>
  </si>
  <si>
    <t xml:space="preserve">Packs for finishing the weekly</t>
  </si>
  <si>
    <t xml:space="preserve">packs</t>
  </si>
  <si>
    <t xml:space="preserve">Monthly quests required</t>
  </si>
  <si>
    <t xml:space="preserve">8 offered, 5 required</t>
  </si>
  <si>
    <t xml:space="preserve">Gold per monthly quest</t>
  </si>
  <si>
    <t xml:space="preserve">Packs for finishing the monthly</t>
  </si>
  <si>
    <t xml:space="preserve">Plus 1 art-upgrade token</t>
  </si>
  <si>
    <t xml:space="preserve">Season pass: free-track packs</t>
  </si>
  <si>
    <t xml:space="preserve">packs/season</t>
  </si>
  <si>
    <t xml:space="preserve">Season = 4 weeks</t>
  </si>
  <si>
    <t xml:space="preserve">Season pass: premium-track packs</t>
  </si>
  <si>
    <t xml:space="preserve">In addition to the free track</t>
  </si>
  <si>
    <t xml:space="preserve">Pack price in gold</t>
  </si>
  <si>
    <t xml:space="preserve">Daily free pack (easy objective)</t>
  </si>
  <si>
    <t xml:space="preserve">packs/day</t>
  </si>
  <si>
    <t xml:space="preserve">"Play 1 match"</t>
  </si>
  <si>
    <t xml:space="preserve">Daily Pack Pass: packs per day</t>
  </si>
  <si>
    <t xml:space="preserve">Deferred: 1 pack per day for 30 days</t>
  </si>
  <si>
    <t xml:space="preserve">Daily Pack Pass: length</t>
  </si>
  <si>
    <t xml:space="preserve">days</t>
  </si>
  <si>
    <t xml:space="preserve">Weeks per month</t>
  </si>
  <si>
    <t xml:space="preserve">weeks</t>
  </si>
  <si>
    <t xml:space="preserve">Simplification</t>
  </si>
  <si>
    <t xml:space="preserve">Inputs (per month)</t>
  </si>
  <si>
    <t xml:space="preserve">Casual</t>
  </si>
  <si>
    <t xml:space="preserve">Regular</t>
  </si>
  <si>
    <t xml:space="preserve">Engaged</t>
  </si>
  <si>
    <t xml:space="preserve">Hardcore</t>
  </si>
  <si>
    <t xml:space="preserve">Active days</t>
  </si>
  <si>
    <t xml:space="preserve">Matches per active day</t>
  </si>
  <si>
    <t xml:space="preserve">Daily quests done per active day</t>
  </si>
  <si>
    <t xml:space="preserve">Share of all-5 daily bonuses</t>
  </si>
  <si>
    <t xml:space="preserve">Weeklies completed (share)</t>
  </si>
  <si>
    <t xml:space="preserve">Monthly completed (0/1)</t>
  </si>
  <si>
    <t xml:space="preserve">Season pass free track reached (share)</t>
  </si>
  <si>
    <t xml:space="preserve">Outputs (per month)</t>
  </si>
  <si>
    <t xml:space="preserve">Hours played</t>
  </si>
  <si>
    <t xml:space="preserve">Avg gold per match</t>
  </si>
  <si>
    <t xml:space="preserve">Match gold per active day (capped)</t>
  </si>
  <si>
    <t xml:space="preserve">Match gold</t>
  </si>
  <si>
    <t xml:space="preserve">Daily quest gold</t>
  </si>
  <si>
    <t xml:space="preserve">Weekly + monthly quest gold</t>
  </si>
  <si>
    <t xml:space="preserve">Total gold</t>
  </si>
  <si>
    <t xml:space="preserve">Packs bought with gold</t>
  </si>
  <si>
    <t xml:space="preserve">Daily free packs</t>
  </si>
  <si>
    <t xml:space="preserve">Reward packs (weekly, monthly, free pass)</t>
  </si>
  <si>
    <t xml:space="preserve">FREE PACKS PER MONTH</t>
  </si>
  <si>
    <t xml:space="preserve">Free packs per active day</t>
  </si>
  <si>
    <t xml:space="preserve">Paying player: + premium pass packs</t>
  </si>
  <si>
    <t xml:space="preserve">Paying player: + Daily Pack Pass</t>
  </si>
  <si>
    <t xml:space="preserve">Gem bundle</t>
  </si>
  <si>
    <t xml:space="preserve">Price (€)</t>
  </si>
  <si>
    <t xml:space="preserve">Gems</t>
  </si>
  <si>
    <t xml:space="preserve">Bonus vs. base</t>
  </si>
  <si>
    <t xml:space="preserve">Packs (at 100 gems)</t>
  </si>
  <si>
    <t xml:space="preserve">€ per pack</t>
  </si>
  <si>
    <t xml:space="preserve">Pack price in gems</t>
  </si>
  <si>
    <t xml:space="preserve">Small</t>
  </si>
  <si>
    <t xml:space="preserve">Medium</t>
  </si>
  <si>
    <t xml:space="preserve">Large</t>
  </si>
  <si>
    <t xml:space="preserve">Huge</t>
  </si>
  <si>
    <t xml:space="preserve">Offer</t>
  </si>
  <si>
    <t xml:space="preserve">Packs</t>
  </si>
  <si>
    <t xml:space="preserve">Other contents</t>
  </si>
  <si>
    <t xml:space="preserve">Discount vs. Small bundle</t>
  </si>
  <si>
    <t xml:space="preserve">Daily Pack Pass (1 pack/day, 30 days)</t>
  </si>
  <si>
    <t xml:space="preserve">Deferred: must log in on 30 days</t>
  </si>
  <si>
    <t xml:space="preserve">Season pass – premium track</t>
  </si>
  <si>
    <t xml:space="preserve">2 art-upgrade tokens, cosmetics</t>
  </si>
  <si>
    <t xml:space="preserve">Starter deck (fixed cards, default art)</t>
  </si>
  <si>
    <t xml:space="preserve">52 fixed cards ≈ 10 packs worth, no randomness</t>
  </si>
  <si>
    <t xml:space="preserve">Launch bundle (limited)</t>
  </si>
  <si>
    <t xml:space="preserve">Card back, 500 crafting materials</t>
  </si>
  <si>
    <t xml:space="preserve">Starter deck "packs" = 52 cards / 5 cards per pack, rounded. Prices are assumptions for a mid-range F2P card game.</t>
  </si>
  <si>
    <t xml:space="preserve">Rarity</t>
  </si>
  <si>
    <t xml:space="preserve">Weight</t>
  </si>
  <si>
    <t xml:space="preserve">Chance per card</t>
  </si>
  <si>
    <t xml:space="preserve">Card-effect variants</t>
  </si>
  <si>
    <t xml:space="preserve">Rogue variants</t>
  </si>
  <si>
    <t xml:space="preserve">Common</t>
  </si>
  <si>
    <t xml:space="preserve">Rare</t>
  </si>
  <si>
    <t xml:space="preserve">Epic</t>
  </si>
  <si>
    <t xml:space="preserve">Legendary</t>
  </si>
  <si>
    <t xml:space="preserve">Total</t>
  </si>
  <si>
    <t xml:space="preserve">Weights 8/4/2/1 are the same as the in-match Rogue offers.</t>
  </si>
  <si>
    <t xml:space="preserve">Art tier</t>
  </si>
  <si>
    <t xml:space="preserve">Expected per pack</t>
  </si>
  <si>
    <t xml:space="preserve">Packs per one copy</t>
  </si>
  <si>
    <t xml:space="preserve">Cards per pack</t>
  </si>
  <si>
    <t xml:space="preserve">Default</t>
  </si>
  <si>
    <t xml:space="preserve">Holo</t>
  </si>
  <si>
    <t xml:space="preserve">Full Art</t>
  </si>
  <si>
    <t xml:space="preserve">Alt Art</t>
  </si>
  <si>
    <t xml:space="preserve">Pack layout: 1 Rogue card + 4 playing cards. Each card rolls rarity, effect and art tier independently.</t>
  </si>
  <si>
    <t xml:space="preserve">Legendary cards per pack</t>
  </si>
  <si>
    <t xml:space="preserve">Dismantle (materials)</t>
  </si>
  <si>
    <t xml:space="preserve">Craft cost (materials)</t>
  </si>
  <si>
    <t xml:space="preserve">Dismantles per craft</t>
  </si>
  <si>
    <t xml:space="preserve">Art tier (dismantle only)</t>
  </si>
  <si>
    <t xml:space="preserve">Dismantle multiplier</t>
  </si>
  <si>
    <t xml:space="preserve">Crafted cards always get the Default art. Higher art tiers only come from packs, events and art-upgrade tokens, which keeps packs relevant.</t>
  </si>
  <si>
    <t xml:space="preserve">Monte Carlo simulation (Python, 300 runs per profile). Static output – does not recalculate.</t>
  </si>
  <si>
    <t xml:space="preserve">Effects = all 61 effect variants owned (35 card + 26 Rogue). Artworks = all 312 artworks owned (52 playing cards x 4 + 26 Rogue x 4).</t>
  </si>
  <si>
    <t xml:space="preserve">Profile</t>
  </si>
  <si>
    <t xml:space="preserve">Packs/month</t>
  </si>
  <si>
    <t xml:space="preserve">Month 1 effects</t>
  </si>
  <si>
    <t xml:space="preserve">Month 2 effects</t>
  </si>
  <si>
    <t xml:space="preserve">Month 3 effects</t>
  </si>
  <si>
    <t xml:space="preserve">Month 4 effects</t>
  </si>
  <si>
    <t xml:space="preserve">Month 5 effects</t>
  </si>
  <si>
    <t xml:space="preserve">Month 6 effects</t>
  </si>
  <si>
    <t xml:space="preserve">Month 1 artworks</t>
  </si>
  <si>
    <t xml:space="preserve">Month 2 artworks</t>
  </si>
  <si>
    <t xml:space="preserve">Month 3 artworks</t>
  </si>
  <si>
    <t xml:space="preserve">Month 4 artworks</t>
  </si>
  <si>
    <t xml:space="preserve">Month 5 artworks</t>
  </si>
  <si>
    <t xml:space="preserve">Month 6 artworks</t>
  </si>
  <si>
    <t xml:space="preserve">Engaged + premium pass + Daily Pack Pass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</si>
</sst>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0.0"/>
    <numFmt numFmtId="167" formatCode="0"/>
    <numFmt numFmtId="168" formatCode="#,##0"/>
    <numFmt numFmtId="169" formatCode="0.00"/>
    <numFmt numFmtId="170" formatCode="\€0.00"/>
    <numFmt numFmtId="171" formatCode="General"/>
    <numFmt numFmtId="172" formatCode="0.0%"/>
    <numFmt numFmtId="173" formatCode="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323D"/>
        <bgColor rgb="FF33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32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</v>
      </c>
      <c r="B4" s="2"/>
    </row>
    <row r="5" customFormat="false" ht="15" hidden="false" customHeight="false" outlineLevel="0" collapsed="false">
      <c r="A5" s="2" t="s">
        <v>3</v>
      </c>
      <c r="B5" s="2"/>
    </row>
    <row r="6" customFormat="false" ht="15" hidden="false" customHeight="false" outlineLevel="0" collapsed="false">
      <c r="A6" s="2" t="s">
        <v>4</v>
      </c>
      <c r="B6" s="2"/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3" t="s">
        <v>5</v>
      </c>
      <c r="B8" s="2"/>
    </row>
    <row r="9" customFormat="false" ht="15" hidden="false" customHeight="false" outlineLevel="0" collapsed="false">
      <c r="A9" s="2" t="s">
        <v>6</v>
      </c>
      <c r="B9" s="2" t="s">
        <v>7</v>
      </c>
    </row>
    <row r="10" customFormat="false" ht="15" hidden="false" customHeight="false" outlineLevel="0" collapsed="false">
      <c r="A10" s="2" t="s">
        <v>8</v>
      </c>
      <c r="B10" s="2" t="s">
        <v>9</v>
      </c>
    </row>
    <row r="11" customFormat="false" ht="15" hidden="false" customHeight="false" outlineLevel="0" collapsed="false">
      <c r="A11" s="2" t="s">
        <v>10</v>
      </c>
      <c r="B11" s="2" t="s">
        <v>11</v>
      </c>
    </row>
    <row r="12" customFormat="false" ht="15" hidden="false" customHeight="false" outlineLevel="0" collapsed="false">
      <c r="A12" s="2" t="s">
        <v>12</v>
      </c>
      <c r="B12" s="2" t="s">
        <v>13</v>
      </c>
    </row>
    <row r="13" customFormat="false" ht="15" hidden="false" customHeight="false" outlineLevel="0" collapsed="false">
      <c r="A13" s="2" t="s">
        <v>14</v>
      </c>
      <c r="B13" s="2" t="s">
        <v>15</v>
      </c>
    </row>
    <row r="14" customFormat="false" ht="15" hidden="false" customHeight="false" outlineLevel="0" collapsed="false">
      <c r="A14" s="2" t="s">
        <v>16</v>
      </c>
      <c r="B14" s="2" t="s">
        <v>17</v>
      </c>
    </row>
    <row r="15" customFormat="false" ht="15" hidden="false" customHeight="false" outlineLevel="0" collapsed="false">
      <c r="A15" s="2"/>
      <c r="B15" s="2"/>
    </row>
    <row r="16" customFormat="false" ht="15" hidden="false" customHeight="false" outlineLevel="0" collapsed="false">
      <c r="A16" s="3" t="s">
        <v>18</v>
      </c>
      <c r="B16" s="2"/>
    </row>
    <row r="17" customFormat="false" ht="15" hidden="false" customHeight="false" outlineLevel="0" collapsed="false">
      <c r="A17" s="2" t="s">
        <v>19</v>
      </c>
      <c r="B17" s="2"/>
    </row>
    <row r="18" customFormat="false" ht="15" hidden="false" customHeight="false" outlineLevel="0" collapsed="false">
      <c r="A18" s="2" t="s">
        <v>20</v>
      </c>
      <c r="B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</row>
    <row r="2" customFormat="false" ht="15" hidden="false" customHeight="false" outlineLevel="0" collapsed="false">
      <c r="A2" s="2" t="s">
        <v>25</v>
      </c>
      <c r="B2" s="5" t="n">
        <v>15</v>
      </c>
      <c r="C2" s="2" t="s">
        <v>26</v>
      </c>
      <c r="D2" s="2" t="s">
        <v>27</v>
      </c>
    </row>
    <row r="3" customFormat="false" ht="15" hidden="false" customHeight="false" outlineLevel="0" collapsed="false">
      <c r="A3" s="2" t="s">
        <v>28</v>
      </c>
      <c r="B3" s="6" t="n">
        <v>0.5</v>
      </c>
      <c r="C3" s="2" t="s">
        <v>29</v>
      </c>
      <c r="D3" s="2" t="s">
        <v>30</v>
      </c>
    </row>
    <row r="4" customFormat="false" ht="15" hidden="false" customHeight="false" outlineLevel="0" collapsed="false">
      <c r="A4" s="2" t="s">
        <v>31</v>
      </c>
      <c r="B4" s="5" t="n">
        <v>10</v>
      </c>
      <c r="C4" s="2" t="s">
        <v>32</v>
      </c>
      <c r="D4" s="2"/>
    </row>
    <row r="5" customFormat="false" ht="15" hidden="false" customHeight="false" outlineLevel="0" collapsed="false">
      <c r="A5" s="2" t="s">
        <v>33</v>
      </c>
      <c r="B5" s="5" t="n">
        <v>4</v>
      </c>
      <c r="C5" s="2" t="s">
        <v>32</v>
      </c>
      <c r="D5" s="2" t="s">
        <v>34</v>
      </c>
    </row>
    <row r="6" customFormat="false" ht="15" hidden="false" customHeight="false" outlineLevel="0" collapsed="false">
      <c r="A6" s="2" t="s">
        <v>35</v>
      </c>
      <c r="B6" s="5" t="n">
        <v>30</v>
      </c>
      <c r="C6" s="2" t="s">
        <v>36</v>
      </c>
      <c r="D6" s="2" t="s">
        <v>37</v>
      </c>
    </row>
    <row r="7" customFormat="false" ht="15" hidden="false" customHeight="false" outlineLevel="0" collapsed="false">
      <c r="A7" s="2" t="s">
        <v>38</v>
      </c>
      <c r="B7" s="5" t="n">
        <v>3</v>
      </c>
      <c r="C7" s="2" t="s">
        <v>39</v>
      </c>
      <c r="D7" s="2" t="s">
        <v>40</v>
      </c>
    </row>
    <row r="8" customFormat="false" ht="15" hidden="false" customHeight="false" outlineLevel="0" collapsed="false">
      <c r="A8" s="2" t="s">
        <v>41</v>
      </c>
      <c r="B8" s="5" t="n">
        <v>10</v>
      </c>
      <c r="C8" s="2" t="s">
        <v>32</v>
      </c>
      <c r="D8" s="2"/>
    </row>
    <row r="9" customFormat="false" ht="15" hidden="false" customHeight="false" outlineLevel="0" collapsed="false">
      <c r="A9" s="2" t="s">
        <v>42</v>
      </c>
      <c r="B9" s="5" t="n">
        <v>10</v>
      </c>
      <c r="C9" s="2" t="s">
        <v>32</v>
      </c>
      <c r="D9" s="2" t="s">
        <v>43</v>
      </c>
    </row>
    <row r="10" customFormat="false" ht="15" hidden="false" customHeight="false" outlineLevel="0" collapsed="false">
      <c r="A10" s="2" t="s">
        <v>44</v>
      </c>
      <c r="B10" s="5" t="n">
        <v>4</v>
      </c>
      <c r="C10" s="2" t="s">
        <v>39</v>
      </c>
      <c r="D10" s="2" t="s">
        <v>45</v>
      </c>
    </row>
    <row r="11" customFormat="false" ht="15" hidden="false" customHeight="false" outlineLevel="0" collapsed="false">
      <c r="A11" s="2" t="s">
        <v>46</v>
      </c>
      <c r="B11" s="5" t="n">
        <v>15</v>
      </c>
      <c r="C11" s="2" t="s">
        <v>32</v>
      </c>
      <c r="D11" s="2"/>
    </row>
    <row r="12" customFormat="false" ht="15" hidden="false" customHeight="false" outlineLevel="0" collapsed="false">
      <c r="A12" s="2" t="s">
        <v>47</v>
      </c>
      <c r="B12" s="5" t="n">
        <v>1</v>
      </c>
      <c r="C12" s="2" t="s">
        <v>48</v>
      </c>
      <c r="D12" s="2"/>
    </row>
    <row r="13" customFormat="false" ht="15" hidden="false" customHeight="false" outlineLevel="0" collapsed="false">
      <c r="A13" s="2" t="s">
        <v>49</v>
      </c>
      <c r="B13" s="5" t="n">
        <v>5</v>
      </c>
      <c r="C13" s="2" t="s">
        <v>39</v>
      </c>
      <c r="D13" s="2" t="s">
        <v>50</v>
      </c>
    </row>
    <row r="14" customFormat="false" ht="15" hidden="false" customHeight="false" outlineLevel="0" collapsed="false">
      <c r="A14" s="2" t="s">
        <v>51</v>
      </c>
      <c r="B14" s="5" t="n">
        <v>25</v>
      </c>
      <c r="C14" s="2" t="s">
        <v>32</v>
      </c>
      <c r="D14" s="2"/>
    </row>
    <row r="15" customFormat="false" ht="15" hidden="false" customHeight="false" outlineLevel="0" collapsed="false">
      <c r="A15" s="2" t="s">
        <v>52</v>
      </c>
      <c r="B15" s="5" t="n">
        <v>2</v>
      </c>
      <c r="C15" s="2" t="s">
        <v>48</v>
      </c>
      <c r="D15" s="2" t="s">
        <v>53</v>
      </c>
    </row>
    <row r="16" customFormat="false" ht="15" hidden="false" customHeight="false" outlineLevel="0" collapsed="false">
      <c r="A16" s="2" t="s">
        <v>54</v>
      </c>
      <c r="B16" s="5" t="n">
        <v>3</v>
      </c>
      <c r="C16" s="2" t="s">
        <v>55</v>
      </c>
      <c r="D16" s="2" t="s">
        <v>56</v>
      </c>
    </row>
    <row r="17" customFormat="false" ht="15" hidden="false" customHeight="false" outlineLevel="0" collapsed="false">
      <c r="A17" s="2" t="s">
        <v>57</v>
      </c>
      <c r="B17" s="5" t="n">
        <v>12</v>
      </c>
      <c r="C17" s="2" t="s">
        <v>55</v>
      </c>
      <c r="D17" s="2" t="s">
        <v>58</v>
      </c>
    </row>
    <row r="18" customFormat="false" ht="15" hidden="false" customHeight="false" outlineLevel="0" collapsed="false">
      <c r="A18" s="2" t="s">
        <v>59</v>
      </c>
      <c r="B18" s="5" t="n">
        <v>150</v>
      </c>
      <c r="C18" s="2" t="s">
        <v>32</v>
      </c>
      <c r="D18" s="2"/>
    </row>
    <row r="19" customFormat="false" ht="15" hidden="false" customHeight="false" outlineLevel="0" collapsed="false">
      <c r="A19" s="2" t="s">
        <v>60</v>
      </c>
      <c r="B19" s="5" t="n">
        <v>1</v>
      </c>
      <c r="C19" s="2" t="s">
        <v>61</v>
      </c>
      <c r="D19" s="2" t="s">
        <v>62</v>
      </c>
    </row>
    <row r="20" customFormat="false" ht="15" hidden="false" customHeight="false" outlineLevel="0" collapsed="false">
      <c r="A20" s="2" t="s">
        <v>63</v>
      </c>
      <c r="B20" s="5" t="n">
        <v>1</v>
      </c>
      <c r="C20" s="2" t="s">
        <v>61</v>
      </c>
      <c r="D20" s="2" t="s">
        <v>64</v>
      </c>
    </row>
    <row r="21" customFormat="false" ht="15" hidden="false" customHeight="false" outlineLevel="0" collapsed="false">
      <c r="A21" s="2" t="s">
        <v>65</v>
      </c>
      <c r="B21" s="5" t="n">
        <v>30</v>
      </c>
      <c r="C21" s="2" t="s">
        <v>66</v>
      </c>
      <c r="D21" s="2"/>
    </row>
    <row r="22" customFormat="false" ht="15" hidden="false" customHeight="false" outlineLevel="0" collapsed="false">
      <c r="A22" s="2" t="s">
        <v>67</v>
      </c>
      <c r="B22" s="5" t="n">
        <v>4</v>
      </c>
      <c r="C22" s="2" t="s">
        <v>68</v>
      </c>
      <c r="D22" s="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</row>
    <row r="2" customFormat="false" ht="15" hidden="false" customHeight="false" outlineLevel="0" collapsed="false">
      <c r="A2" s="2" t="s">
        <v>75</v>
      </c>
      <c r="B2" s="5" t="n">
        <v>10</v>
      </c>
      <c r="C2" s="5" t="n">
        <v>18</v>
      </c>
      <c r="D2" s="5" t="n">
        <v>26</v>
      </c>
      <c r="E2" s="5" t="n">
        <v>30</v>
      </c>
    </row>
    <row r="3" customFormat="false" ht="15" hidden="false" customHeight="false" outlineLevel="0" collapsed="false">
      <c r="A3" s="2" t="s">
        <v>76</v>
      </c>
      <c r="B3" s="5" t="n">
        <v>2</v>
      </c>
      <c r="C3" s="5" t="n">
        <v>3</v>
      </c>
      <c r="D3" s="5" t="n">
        <v>6</v>
      </c>
      <c r="E3" s="5" t="n">
        <v>12</v>
      </c>
    </row>
    <row r="4" customFormat="false" ht="15" hidden="false" customHeight="false" outlineLevel="0" collapsed="false">
      <c r="A4" s="2" t="s">
        <v>77</v>
      </c>
      <c r="B4" s="5" t="n">
        <v>2</v>
      </c>
      <c r="C4" s="5" t="n">
        <v>3</v>
      </c>
      <c r="D4" s="5" t="n">
        <v>3</v>
      </c>
      <c r="E4" s="5" t="n">
        <v>3</v>
      </c>
    </row>
    <row r="5" customFormat="false" ht="15" hidden="false" customHeight="false" outlineLevel="0" collapsed="false">
      <c r="A5" s="2" t="s">
        <v>78</v>
      </c>
      <c r="B5" s="6" t="n">
        <v>0</v>
      </c>
      <c r="C5" s="6" t="n">
        <v>0.2</v>
      </c>
      <c r="D5" s="6" t="n">
        <v>0.6</v>
      </c>
      <c r="E5" s="6" t="n">
        <v>1</v>
      </c>
    </row>
    <row r="6" customFormat="false" ht="15" hidden="false" customHeight="false" outlineLevel="0" collapsed="false">
      <c r="A6" s="2" t="s">
        <v>79</v>
      </c>
      <c r="B6" s="6" t="n">
        <v>0.25</v>
      </c>
      <c r="C6" s="6" t="n">
        <v>0.75</v>
      </c>
      <c r="D6" s="6" t="n">
        <v>1</v>
      </c>
      <c r="E6" s="6" t="n">
        <v>1</v>
      </c>
    </row>
    <row r="7" customFormat="false" ht="15" hidden="false" customHeight="false" outlineLevel="0" collapsed="false">
      <c r="A7" s="2" t="s">
        <v>80</v>
      </c>
      <c r="B7" s="5" t="n">
        <v>0</v>
      </c>
      <c r="C7" s="5" t="n">
        <v>0</v>
      </c>
      <c r="D7" s="5" t="n">
        <v>1</v>
      </c>
      <c r="E7" s="5" t="n">
        <v>1</v>
      </c>
    </row>
    <row r="8" customFormat="false" ht="15" hidden="false" customHeight="false" outlineLevel="0" collapsed="false">
      <c r="A8" s="2" t="s">
        <v>81</v>
      </c>
      <c r="B8" s="6" t="n">
        <v>0.4</v>
      </c>
      <c r="C8" s="6" t="n">
        <v>0.75</v>
      </c>
      <c r="D8" s="6" t="n">
        <v>1</v>
      </c>
      <c r="E8" s="6" t="n">
        <v>1</v>
      </c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4" t="s">
        <v>82</v>
      </c>
      <c r="B10" s="4" t="s">
        <v>71</v>
      </c>
      <c r="C10" s="4" t="s">
        <v>72</v>
      </c>
      <c r="D10" s="4" t="s">
        <v>73</v>
      </c>
      <c r="E10" s="4" t="s">
        <v>74</v>
      </c>
    </row>
    <row r="11" customFormat="false" ht="15" hidden="false" customHeight="false" outlineLevel="0" collapsed="false">
      <c r="A11" s="2" t="s">
        <v>83</v>
      </c>
      <c r="B11" s="7" t="n">
        <f aca="false">B2*B3*Assumptions!$B$2/60</f>
        <v>5</v>
      </c>
      <c r="C11" s="7" t="n">
        <f aca="false">C2*C3*Assumptions!$B$2/60</f>
        <v>13.5</v>
      </c>
      <c r="D11" s="7" t="n">
        <f aca="false">D2*D3*Assumptions!$B$2/60</f>
        <v>39</v>
      </c>
      <c r="E11" s="7" t="n">
        <f aca="false">E2*E3*Assumptions!$B$2/60</f>
        <v>90</v>
      </c>
    </row>
    <row r="12" customFormat="false" ht="15" hidden="false" customHeight="false" outlineLevel="0" collapsed="false">
      <c r="A12" s="2" t="s">
        <v>84</v>
      </c>
      <c r="B12" s="8" t="n">
        <f aca="false">Assumptions!$B$3*Assumptions!$B$4+(1-Assumptions!$B$3)*Assumptions!$B$5</f>
        <v>7</v>
      </c>
      <c r="C12" s="8" t="n">
        <f aca="false">Assumptions!$B$3*Assumptions!$B$4+(1-Assumptions!$B$3)*Assumptions!$B$5</f>
        <v>7</v>
      </c>
      <c r="D12" s="8" t="n">
        <f aca="false">Assumptions!$B$3*Assumptions!$B$4+(1-Assumptions!$B$3)*Assumptions!$B$5</f>
        <v>7</v>
      </c>
      <c r="E12" s="8" t="n">
        <f aca="false">Assumptions!$B$3*Assumptions!$B$4+(1-Assumptions!$B$3)*Assumptions!$B$5</f>
        <v>7</v>
      </c>
    </row>
    <row r="13" customFormat="false" ht="15" hidden="false" customHeight="false" outlineLevel="0" collapsed="false">
      <c r="A13" s="2" t="s">
        <v>85</v>
      </c>
      <c r="B13" s="9" t="n">
        <f aca="false">MIN(B3*B12,Assumptions!$B$6)</f>
        <v>14</v>
      </c>
      <c r="C13" s="9" t="n">
        <f aca="false">MIN(C3*C12,Assumptions!$B$6)</f>
        <v>21</v>
      </c>
      <c r="D13" s="9" t="n">
        <f aca="false">MIN(D3*D12,Assumptions!$B$6)</f>
        <v>30</v>
      </c>
      <c r="E13" s="9" t="n">
        <f aca="false">MIN(E3*E12,Assumptions!$B$6)</f>
        <v>30</v>
      </c>
    </row>
    <row r="14" customFormat="false" ht="15" hidden="false" customHeight="false" outlineLevel="0" collapsed="false">
      <c r="A14" s="2" t="s">
        <v>86</v>
      </c>
      <c r="B14" s="10" t="n">
        <f aca="false">B2*B13</f>
        <v>140</v>
      </c>
      <c r="C14" s="10" t="n">
        <f aca="false">C2*C13</f>
        <v>378</v>
      </c>
      <c r="D14" s="10" t="n">
        <f aca="false">D2*D13</f>
        <v>780</v>
      </c>
      <c r="E14" s="10" t="n">
        <f aca="false">E2*E13</f>
        <v>900</v>
      </c>
    </row>
    <row r="15" customFormat="false" ht="15" hidden="false" customHeight="false" outlineLevel="0" collapsed="false">
      <c r="A15" s="2" t="s">
        <v>87</v>
      </c>
      <c r="B15" s="10" t="n">
        <f aca="false">B2*(MIN(B4,Assumptions!$B$7)*Assumptions!$B$8+B5*Assumptions!$B$9)</f>
        <v>200</v>
      </c>
      <c r="C15" s="10" t="n">
        <f aca="false">C2*(MIN(C4,Assumptions!$B$7)*Assumptions!$B$8+C5*Assumptions!$B$9)</f>
        <v>576</v>
      </c>
      <c r="D15" s="10" t="n">
        <f aca="false">D2*(MIN(D4,Assumptions!$B$7)*Assumptions!$B$8+D5*Assumptions!$B$9)</f>
        <v>936</v>
      </c>
      <c r="E15" s="10" t="n">
        <f aca="false">E2*(MIN(E4,Assumptions!$B$7)*Assumptions!$B$8+E5*Assumptions!$B$9)</f>
        <v>1200</v>
      </c>
    </row>
    <row r="16" customFormat="false" ht="15" hidden="false" customHeight="false" outlineLevel="0" collapsed="false">
      <c r="A16" s="2" t="s">
        <v>88</v>
      </c>
      <c r="B16" s="10" t="n">
        <f aca="false">Assumptions!$B$22*B6*Assumptions!$B$10*Assumptions!$B$11+B7*Assumptions!$B$13*Assumptions!$B$14</f>
        <v>60</v>
      </c>
      <c r="C16" s="10" t="n">
        <f aca="false">Assumptions!$B$22*C6*Assumptions!$B$10*Assumptions!$B$11+C7*Assumptions!$B$13*Assumptions!$B$14</f>
        <v>180</v>
      </c>
      <c r="D16" s="10" t="n">
        <f aca="false">Assumptions!$B$22*D6*Assumptions!$B$10*Assumptions!$B$11+D7*Assumptions!$B$13*Assumptions!$B$14</f>
        <v>365</v>
      </c>
      <c r="E16" s="10" t="n">
        <f aca="false">Assumptions!$B$22*E6*Assumptions!$B$10*Assumptions!$B$11+E7*Assumptions!$B$13*Assumptions!$B$14</f>
        <v>365</v>
      </c>
    </row>
    <row r="17" customFormat="false" ht="15" hidden="false" customHeight="false" outlineLevel="0" collapsed="false">
      <c r="A17" s="2" t="s">
        <v>89</v>
      </c>
      <c r="B17" s="10" t="n">
        <f aca="false">B14+B15+B16</f>
        <v>400</v>
      </c>
      <c r="C17" s="10" t="n">
        <f aca="false">C14+C15+C16</f>
        <v>1134</v>
      </c>
      <c r="D17" s="10" t="n">
        <f aca="false">D14+D15+D16</f>
        <v>2081</v>
      </c>
      <c r="E17" s="10" t="n">
        <f aca="false">E14+E15+E16</f>
        <v>2465</v>
      </c>
    </row>
    <row r="18" customFormat="false" ht="15" hidden="false" customHeight="false" outlineLevel="0" collapsed="false">
      <c r="A18" s="2" t="s">
        <v>90</v>
      </c>
      <c r="B18" s="7" t="n">
        <f aca="false">B17/Assumptions!$B$18</f>
        <v>2.66666666666667</v>
      </c>
      <c r="C18" s="7" t="n">
        <f aca="false">C17/Assumptions!$B$18</f>
        <v>7.56</v>
      </c>
      <c r="D18" s="7" t="n">
        <f aca="false">D17/Assumptions!$B$18</f>
        <v>13.8733333333333</v>
      </c>
      <c r="E18" s="7" t="n">
        <f aca="false">E17/Assumptions!$B$18</f>
        <v>16.4333333333333</v>
      </c>
    </row>
    <row r="19" customFormat="false" ht="15" hidden="false" customHeight="false" outlineLevel="0" collapsed="false">
      <c r="A19" s="2" t="s">
        <v>91</v>
      </c>
      <c r="B19" s="7" t="n">
        <f aca="false">B2*Assumptions!$B$19</f>
        <v>10</v>
      </c>
      <c r="C19" s="7" t="n">
        <f aca="false">C2*Assumptions!$B$19</f>
        <v>18</v>
      </c>
      <c r="D19" s="7" t="n">
        <f aca="false">D2*Assumptions!$B$19</f>
        <v>26</v>
      </c>
      <c r="E19" s="7" t="n">
        <f aca="false">E2*Assumptions!$B$19</f>
        <v>30</v>
      </c>
    </row>
    <row r="20" customFormat="false" ht="15" hidden="false" customHeight="false" outlineLevel="0" collapsed="false">
      <c r="A20" s="2" t="s">
        <v>92</v>
      </c>
      <c r="B20" s="7" t="n">
        <f aca="false">Assumptions!$B$22*B6*Assumptions!$B$12+B7*Assumptions!$B$15+B8*Assumptions!$B$16</f>
        <v>2.2</v>
      </c>
      <c r="C20" s="7" t="n">
        <f aca="false">Assumptions!$B$22*C6*Assumptions!$B$12+C7*Assumptions!$B$15+C8*Assumptions!$B$16</f>
        <v>5.25</v>
      </c>
      <c r="D20" s="7" t="n">
        <f aca="false">Assumptions!$B$22*D6*Assumptions!$B$12+D7*Assumptions!$B$15+D8*Assumptions!$B$16</f>
        <v>9</v>
      </c>
      <c r="E20" s="7" t="n">
        <f aca="false">Assumptions!$B$22*E6*Assumptions!$B$12+E7*Assumptions!$B$15+E8*Assumptions!$B$16</f>
        <v>9</v>
      </c>
    </row>
    <row r="21" customFormat="false" ht="15" hidden="false" customHeight="false" outlineLevel="0" collapsed="false">
      <c r="A21" s="3" t="s">
        <v>93</v>
      </c>
      <c r="B21" s="7" t="n">
        <f aca="false">B18+B19+B20</f>
        <v>14.8666666666667</v>
      </c>
      <c r="C21" s="7" t="n">
        <f aca="false">C18+C19+C20</f>
        <v>30.81</v>
      </c>
      <c r="D21" s="7" t="n">
        <f aca="false">D18+D19+D20</f>
        <v>48.8733333333333</v>
      </c>
      <c r="E21" s="7" t="n">
        <f aca="false">E18+E19+E20</f>
        <v>55.4333333333333</v>
      </c>
    </row>
    <row r="22" customFormat="false" ht="15" hidden="false" customHeight="false" outlineLevel="0" collapsed="false">
      <c r="A22" s="2" t="s">
        <v>94</v>
      </c>
      <c r="B22" s="11" t="n">
        <f aca="false">IF(B2&gt;0,B21/B2,0)</f>
        <v>1.48666666666667</v>
      </c>
      <c r="C22" s="11" t="n">
        <f aca="false">IF(C2&gt;0,C21/C2,0)</f>
        <v>1.71166666666667</v>
      </c>
      <c r="D22" s="11" t="n">
        <f aca="false">IF(D2&gt;0,D21/D2,0)</f>
        <v>1.87974358974359</v>
      </c>
      <c r="E22" s="11" t="n">
        <f aca="false">IF(E2&gt;0,E21/E2,0)</f>
        <v>1.84777777777778</v>
      </c>
    </row>
    <row r="23" customFormat="false" ht="15" hidden="false" customHeight="false" outlineLevel="0" collapsed="false">
      <c r="A23" s="3" t="s">
        <v>95</v>
      </c>
      <c r="B23" s="7" t="n">
        <f aca="false">B21+Assumptions!$B$17</f>
        <v>26.8666666666667</v>
      </c>
      <c r="C23" s="7" t="n">
        <f aca="false">C21+Assumptions!$B$17</f>
        <v>42.81</v>
      </c>
      <c r="D23" s="7" t="n">
        <f aca="false">D21+Assumptions!$B$17</f>
        <v>60.8733333333333</v>
      </c>
      <c r="E23" s="7" t="n">
        <f aca="false">E21+Assumptions!$B$17</f>
        <v>67.4333333333333</v>
      </c>
    </row>
    <row r="24" customFormat="false" ht="15" hidden="false" customHeight="false" outlineLevel="0" collapsed="false">
      <c r="A24" s="3" t="s">
        <v>96</v>
      </c>
      <c r="B24" s="7" t="n">
        <f aca="false">B23+Assumptions!$B$20*Assumptions!$B$21</f>
        <v>56.8666666666667</v>
      </c>
      <c r="C24" s="7" t="n">
        <f aca="false">C23+Assumptions!$B$20*Assumptions!$B$21</f>
        <v>72.81</v>
      </c>
      <c r="D24" s="7" t="n">
        <f aca="false">D23+Assumptions!$B$20*Assumptions!$B$21</f>
        <v>90.8733333333333</v>
      </c>
      <c r="E24" s="7" t="n">
        <f aca="false">E23+Assumptions!$B$20*Assumptions!$B$21</f>
        <v>97.4333333333333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4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2"/>
      <c r="H1" s="3" t="s">
        <v>103</v>
      </c>
      <c r="I1" s="5" t="n">
        <v>100</v>
      </c>
    </row>
    <row r="2" customFormat="false" ht="15" hidden="false" customHeight="false" outlineLevel="0" collapsed="false">
      <c r="A2" s="2" t="s">
        <v>104</v>
      </c>
      <c r="B2" s="12" t="n">
        <v>4.99</v>
      </c>
      <c r="C2" s="5" t="n">
        <v>500</v>
      </c>
      <c r="D2" s="13" t="n">
        <f aca="false">C2/(B2/$B$2*$C$2)-1</f>
        <v>0</v>
      </c>
      <c r="E2" s="14" t="n">
        <f aca="false">C2/$I$1</f>
        <v>5</v>
      </c>
      <c r="F2" s="15" t="n">
        <f aca="false">B2/E2</f>
        <v>0.998</v>
      </c>
      <c r="G2" s="2"/>
      <c r="H2" s="2"/>
      <c r="I2" s="2"/>
    </row>
    <row r="3" customFormat="false" ht="15" hidden="false" customHeight="false" outlineLevel="0" collapsed="false">
      <c r="A3" s="2" t="s">
        <v>105</v>
      </c>
      <c r="B3" s="12" t="n">
        <v>9.99</v>
      </c>
      <c r="C3" s="5" t="n">
        <v>1100</v>
      </c>
      <c r="D3" s="13" t="n">
        <f aca="false">C3/(B3/$B$2*$C$2)-1</f>
        <v>0.0988988988988988</v>
      </c>
      <c r="E3" s="14" t="n">
        <f aca="false">C3/$I$1</f>
        <v>11</v>
      </c>
      <c r="F3" s="15" t="n">
        <f aca="false">B3/E3</f>
        <v>0.908181818181818</v>
      </c>
      <c r="G3" s="2"/>
      <c r="H3" s="2"/>
      <c r="I3" s="2"/>
    </row>
    <row r="4" customFormat="false" ht="15" hidden="false" customHeight="false" outlineLevel="0" collapsed="false">
      <c r="A4" s="2" t="s">
        <v>106</v>
      </c>
      <c r="B4" s="12" t="n">
        <v>19.99</v>
      </c>
      <c r="C4" s="5" t="n">
        <v>2400</v>
      </c>
      <c r="D4" s="13" t="n">
        <f aca="false">C4/(B4/$B$2*$C$2)-1</f>
        <v>0.198199099549775</v>
      </c>
      <c r="E4" s="14" t="n">
        <f aca="false">C4/$I$1</f>
        <v>24</v>
      </c>
      <c r="F4" s="15" t="n">
        <f aca="false">B4/E4</f>
        <v>0.832916666666667</v>
      </c>
      <c r="G4" s="2"/>
      <c r="H4" s="2"/>
      <c r="I4" s="2"/>
    </row>
    <row r="5" customFormat="false" ht="15" hidden="false" customHeight="false" outlineLevel="0" collapsed="false">
      <c r="A5" s="2" t="s">
        <v>107</v>
      </c>
      <c r="B5" s="12" t="n">
        <v>49.99</v>
      </c>
      <c r="C5" s="5" t="n">
        <v>6500</v>
      </c>
      <c r="D5" s="13" t="n">
        <f aca="false">C5/(B5/$B$2*$C$2)-1</f>
        <v>0.297659531906381</v>
      </c>
      <c r="E5" s="14" t="n">
        <f aca="false">C5/$I$1</f>
        <v>65</v>
      </c>
      <c r="F5" s="15" t="n">
        <f aca="false">B5/E5</f>
        <v>0.769076923076923</v>
      </c>
      <c r="G5" s="2"/>
      <c r="H5" s="2"/>
      <c r="I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4" t="s">
        <v>108</v>
      </c>
      <c r="B7" s="4" t="s">
        <v>98</v>
      </c>
      <c r="C7" s="4" t="s">
        <v>109</v>
      </c>
      <c r="D7" s="4" t="s">
        <v>110</v>
      </c>
      <c r="E7" s="4" t="s">
        <v>102</v>
      </c>
      <c r="F7" s="4" t="s">
        <v>111</v>
      </c>
      <c r="G7" s="2"/>
      <c r="H7" s="2"/>
      <c r="I7" s="2"/>
    </row>
    <row r="8" customFormat="false" ht="15" hidden="false" customHeight="false" outlineLevel="0" collapsed="false">
      <c r="A8" s="2" t="s">
        <v>112</v>
      </c>
      <c r="B8" s="12" t="n">
        <v>4.99</v>
      </c>
      <c r="C8" s="16" t="n">
        <f aca="false">Assumptions!$B$20*Assumptions!$B$21</f>
        <v>30</v>
      </c>
      <c r="D8" s="2" t="s">
        <v>113</v>
      </c>
      <c r="E8" s="15" t="n">
        <f aca="false">B8/C8</f>
        <v>0.166333333333333</v>
      </c>
      <c r="F8" s="13" t="n">
        <f aca="false">1-E8/$F$2</f>
        <v>0.833333333333333</v>
      </c>
      <c r="G8" s="2"/>
      <c r="H8" s="2"/>
      <c r="I8" s="2"/>
    </row>
    <row r="9" customFormat="false" ht="15" hidden="false" customHeight="false" outlineLevel="0" collapsed="false">
      <c r="A9" s="2" t="s">
        <v>114</v>
      </c>
      <c r="B9" s="12" t="n">
        <v>9.99</v>
      </c>
      <c r="C9" s="16" t="n">
        <f aca="false">Assumptions!$B$17</f>
        <v>12</v>
      </c>
      <c r="D9" s="2" t="s">
        <v>115</v>
      </c>
      <c r="E9" s="15" t="n">
        <f aca="false">B9/C9</f>
        <v>0.8325</v>
      </c>
      <c r="F9" s="13" t="n">
        <f aca="false">1-E9/$F$2</f>
        <v>0.165831663326653</v>
      </c>
      <c r="G9" s="2"/>
      <c r="H9" s="2"/>
      <c r="I9" s="2"/>
    </row>
    <row r="10" customFormat="false" ht="15" hidden="false" customHeight="false" outlineLevel="0" collapsed="false">
      <c r="A10" s="2" t="s">
        <v>116</v>
      </c>
      <c r="B10" s="12" t="n">
        <v>4.99</v>
      </c>
      <c r="C10" s="5" t="n">
        <v>10</v>
      </c>
      <c r="D10" s="2" t="s">
        <v>117</v>
      </c>
      <c r="E10" s="15" t="n">
        <f aca="false">B10/C10</f>
        <v>0.499</v>
      </c>
      <c r="F10" s="13" t="n">
        <f aca="false">1-E10/$F$2</f>
        <v>0.5</v>
      </c>
      <c r="G10" s="2"/>
      <c r="H10" s="2"/>
      <c r="I10" s="2"/>
    </row>
    <row r="11" customFormat="false" ht="15" hidden="false" customHeight="false" outlineLevel="0" collapsed="false">
      <c r="A11" s="2" t="s">
        <v>118</v>
      </c>
      <c r="B11" s="12" t="n">
        <v>9.99</v>
      </c>
      <c r="C11" s="5" t="n">
        <v>15</v>
      </c>
      <c r="D11" s="2" t="s">
        <v>119</v>
      </c>
      <c r="E11" s="15" t="n">
        <f aca="false">B11/C11</f>
        <v>0.666</v>
      </c>
      <c r="F11" s="13" t="n">
        <f aca="false">1-E11/$F$2</f>
        <v>0.332665330661323</v>
      </c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 t="s">
        <v>120</v>
      </c>
      <c r="B13" s="2"/>
      <c r="C13" s="2"/>
      <c r="D13" s="2"/>
      <c r="E13" s="2"/>
      <c r="F13" s="2"/>
      <c r="G13" s="2"/>
      <c r="H13" s="2"/>
      <c r="I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4" t="s">
        <v>121</v>
      </c>
      <c r="B1" s="4" t="s">
        <v>122</v>
      </c>
      <c r="C1" s="4" t="s">
        <v>123</v>
      </c>
      <c r="D1" s="4" t="s">
        <v>124</v>
      </c>
      <c r="E1" s="4" t="s">
        <v>125</v>
      </c>
      <c r="F1" s="2"/>
      <c r="G1" s="2"/>
      <c r="H1" s="2"/>
    </row>
    <row r="2" customFormat="false" ht="15" hidden="false" customHeight="false" outlineLevel="0" collapsed="false">
      <c r="A2" s="2" t="s">
        <v>126</v>
      </c>
      <c r="B2" s="5" t="n">
        <v>8</v>
      </c>
      <c r="C2" s="17" t="n">
        <f aca="false">B2/SUM($B$2:$B$5)</f>
        <v>0.533333333333333</v>
      </c>
      <c r="D2" s="2" t="n">
        <v>9</v>
      </c>
      <c r="E2" s="2" t="n">
        <v>4</v>
      </c>
      <c r="F2" s="2"/>
      <c r="G2" s="2"/>
      <c r="H2" s="2"/>
    </row>
    <row r="3" customFormat="false" ht="15" hidden="false" customHeight="false" outlineLevel="0" collapsed="false">
      <c r="A3" s="2" t="s">
        <v>127</v>
      </c>
      <c r="B3" s="5" t="n">
        <v>4</v>
      </c>
      <c r="C3" s="17" t="n">
        <f aca="false">B3/SUM($B$2:$B$5)</f>
        <v>0.266666666666667</v>
      </c>
      <c r="D3" s="2" t="n">
        <v>8</v>
      </c>
      <c r="E3" s="2" t="n">
        <v>6</v>
      </c>
      <c r="F3" s="2"/>
      <c r="G3" s="2"/>
      <c r="H3" s="2"/>
    </row>
    <row r="4" customFormat="false" ht="15" hidden="false" customHeight="false" outlineLevel="0" collapsed="false">
      <c r="A4" s="2" t="s">
        <v>128</v>
      </c>
      <c r="B4" s="5" t="n">
        <v>2</v>
      </c>
      <c r="C4" s="17" t="n">
        <f aca="false">B4/SUM($B$2:$B$5)</f>
        <v>0.133333333333333</v>
      </c>
      <c r="D4" s="2" t="n">
        <v>10</v>
      </c>
      <c r="E4" s="2" t="n">
        <v>7</v>
      </c>
      <c r="F4" s="2"/>
      <c r="G4" s="2"/>
      <c r="H4" s="2"/>
    </row>
    <row r="5" customFormat="false" ht="15" hidden="false" customHeight="false" outlineLevel="0" collapsed="false">
      <c r="A5" s="2" t="s">
        <v>129</v>
      </c>
      <c r="B5" s="5" t="n">
        <v>1</v>
      </c>
      <c r="C5" s="17" t="n">
        <f aca="false">B5/SUM($B$2:$B$5)</f>
        <v>0.0666666666666667</v>
      </c>
      <c r="D5" s="2" t="n">
        <v>8</v>
      </c>
      <c r="E5" s="2" t="n">
        <v>9</v>
      </c>
      <c r="F5" s="2"/>
      <c r="G5" s="2"/>
      <c r="H5" s="2"/>
    </row>
    <row r="6" customFormat="false" ht="15" hidden="false" customHeight="false" outlineLevel="0" collapsed="false">
      <c r="A6" s="3" t="s">
        <v>130</v>
      </c>
      <c r="B6" s="2"/>
      <c r="C6" s="2"/>
      <c r="D6" s="2" t="n">
        <f aca="false">SUM(D2:D5)</f>
        <v>35</v>
      </c>
      <c r="E6" s="2" t="n">
        <f aca="false">SUM(E2:E5)</f>
        <v>26</v>
      </c>
      <c r="F6" s="2"/>
      <c r="G6" s="2"/>
      <c r="H6" s="2"/>
    </row>
    <row r="7" customFormat="false" ht="15" hidden="false" customHeight="false" outlineLevel="0" collapsed="false">
      <c r="A7" s="2" t="s">
        <v>131</v>
      </c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 t="s">
        <v>132</v>
      </c>
      <c r="B9" s="4" t="s">
        <v>122</v>
      </c>
      <c r="C9" s="4" t="s">
        <v>123</v>
      </c>
      <c r="D9" s="4" t="s">
        <v>133</v>
      </c>
      <c r="E9" s="4" t="s">
        <v>134</v>
      </c>
      <c r="F9" s="2"/>
      <c r="G9" s="3" t="s">
        <v>135</v>
      </c>
      <c r="H9" s="5" t="n">
        <v>5</v>
      </c>
    </row>
    <row r="10" customFormat="false" ht="15" hidden="false" customHeight="false" outlineLevel="0" collapsed="false">
      <c r="A10" s="2" t="s">
        <v>136</v>
      </c>
      <c r="B10" s="5" t="n">
        <v>80</v>
      </c>
      <c r="C10" s="17" t="n">
        <f aca="false">B10/SUM($B$10:$B$13)</f>
        <v>0.8</v>
      </c>
      <c r="D10" s="18" t="n">
        <f aca="false">C10*$H$9</f>
        <v>4</v>
      </c>
      <c r="E10" s="14" t="n">
        <f aca="false">1/D10</f>
        <v>0.25</v>
      </c>
      <c r="F10" s="2"/>
      <c r="G10" s="2"/>
      <c r="H10" s="2"/>
    </row>
    <row r="11" customFormat="false" ht="15" hidden="false" customHeight="false" outlineLevel="0" collapsed="false">
      <c r="A11" s="2" t="s">
        <v>137</v>
      </c>
      <c r="B11" s="5" t="n">
        <v>14</v>
      </c>
      <c r="C11" s="17" t="n">
        <f aca="false">B11/SUM($B$10:$B$13)</f>
        <v>0.14</v>
      </c>
      <c r="D11" s="18" t="n">
        <f aca="false">C11*$H$9</f>
        <v>0.7</v>
      </c>
      <c r="E11" s="14" t="n">
        <f aca="false">1/D11</f>
        <v>1.42857142857143</v>
      </c>
      <c r="F11" s="2"/>
      <c r="G11" s="2"/>
      <c r="H11" s="2"/>
    </row>
    <row r="12" customFormat="false" ht="15" hidden="false" customHeight="false" outlineLevel="0" collapsed="false">
      <c r="A12" s="2" t="s">
        <v>138</v>
      </c>
      <c r="B12" s="5" t="n">
        <v>5</v>
      </c>
      <c r="C12" s="17" t="n">
        <f aca="false">B12/SUM($B$10:$B$13)</f>
        <v>0.05</v>
      </c>
      <c r="D12" s="18" t="n">
        <f aca="false">C12*$H$9</f>
        <v>0.25</v>
      </c>
      <c r="E12" s="14" t="n">
        <f aca="false">1/D12</f>
        <v>4</v>
      </c>
      <c r="F12" s="2"/>
      <c r="G12" s="2"/>
      <c r="H12" s="2"/>
    </row>
    <row r="13" customFormat="false" ht="15" hidden="false" customHeight="false" outlineLevel="0" collapsed="false">
      <c r="A13" s="2" t="s">
        <v>139</v>
      </c>
      <c r="B13" s="5" t="n">
        <v>1</v>
      </c>
      <c r="C13" s="17" t="n">
        <f aca="false">B13/SUM($B$10:$B$13)</f>
        <v>0.01</v>
      </c>
      <c r="D13" s="18" t="n">
        <f aca="false">C13*$H$9</f>
        <v>0.05</v>
      </c>
      <c r="E13" s="14" t="n">
        <f aca="false">1/D13</f>
        <v>20</v>
      </c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 t="s">
        <v>140</v>
      </c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 t="s">
        <v>141</v>
      </c>
      <c r="B16" s="2"/>
      <c r="C16" s="2"/>
      <c r="D16" s="18" t="n">
        <f aca="false">C5*$H$9</f>
        <v>0.333333333333333</v>
      </c>
      <c r="E16" s="2"/>
      <c r="F16" s="2"/>
      <c r="G16" s="2"/>
      <c r="H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4" t="s">
        <v>121</v>
      </c>
      <c r="B1" s="4" t="s">
        <v>142</v>
      </c>
      <c r="C1" s="4" t="s">
        <v>143</v>
      </c>
      <c r="D1" s="4" t="s">
        <v>144</v>
      </c>
    </row>
    <row r="2" customFormat="false" ht="15" hidden="false" customHeight="false" outlineLevel="0" collapsed="false">
      <c r="A2" s="2" t="s">
        <v>126</v>
      </c>
      <c r="B2" s="5" t="n">
        <v>5</v>
      </c>
      <c r="C2" s="5" t="n">
        <v>40</v>
      </c>
      <c r="D2" s="14" t="n">
        <f aca="false">C2/B2</f>
        <v>8</v>
      </c>
    </row>
    <row r="3" customFormat="false" ht="15" hidden="false" customHeight="false" outlineLevel="0" collapsed="false">
      <c r="A3" s="2" t="s">
        <v>127</v>
      </c>
      <c r="B3" s="5" t="n">
        <v>20</v>
      </c>
      <c r="C3" s="5" t="n">
        <v>100</v>
      </c>
      <c r="D3" s="14" t="n">
        <f aca="false">C3/B3</f>
        <v>5</v>
      </c>
    </row>
    <row r="4" customFormat="false" ht="15" hidden="false" customHeight="false" outlineLevel="0" collapsed="false">
      <c r="A4" s="2" t="s">
        <v>128</v>
      </c>
      <c r="B4" s="5" t="n">
        <v>50</v>
      </c>
      <c r="C4" s="5" t="n">
        <v>400</v>
      </c>
      <c r="D4" s="14" t="n">
        <f aca="false">C4/B4</f>
        <v>8</v>
      </c>
    </row>
    <row r="5" customFormat="false" ht="15" hidden="false" customHeight="false" outlineLevel="0" collapsed="false">
      <c r="A5" s="2" t="s">
        <v>129</v>
      </c>
      <c r="B5" s="5" t="n">
        <v>200</v>
      </c>
      <c r="C5" s="5" t="n">
        <v>1600</v>
      </c>
      <c r="D5" s="14" t="n">
        <f aca="false">C5/B5</f>
        <v>8</v>
      </c>
    </row>
    <row r="6" customFormat="false" ht="15" hidden="false" customHeight="false" outlineLevel="0" collapsed="false">
      <c r="A6" s="2"/>
      <c r="B6" s="2"/>
      <c r="C6" s="2"/>
      <c r="D6" s="2"/>
    </row>
    <row r="7" customFormat="false" ht="15" hidden="false" customHeight="false" outlineLevel="0" collapsed="false">
      <c r="A7" s="4" t="s">
        <v>145</v>
      </c>
      <c r="B7" s="4" t="s">
        <v>146</v>
      </c>
      <c r="C7" s="2"/>
      <c r="D7" s="2"/>
    </row>
    <row r="8" customFormat="false" ht="15" hidden="false" customHeight="false" outlineLevel="0" collapsed="false">
      <c r="A8" s="2" t="s">
        <v>136</v>
      </c>
      <c r="B8" s="19" t="n">
        <v>1</v>
      </c>
      <c r="C8" s="2"/>
      <c r="D8" s="2"/>
    </row>
    <row r="9" customFormat="false" ht="15" hidden="false" customHeight="false" outlineLevel="0" collapsed="false">
      <c r="A9" s="2" t="s">
        <v>137</v>
      </c>
      <c r="B9" s="19" t="n">
        <v>2</v>
      </c>
      <c r="C9" s="2"/>
      <c r="D9" s="2"/>
    </row>
    <row r="10" customFormat="false" ht="15" hidden="false" customHeight="false" outlineLevel="0" collapsed="false">
      <c r="A10" s="2" t="s">
        <v>138</v>
      </c>
      <c r="B10" s="19" t="n">
        <v>4</v>
      </c>
      <c r="C10" s="2"/>
      <c r="D10" s="2"/>
    </row>
    <row r="11" customFormat="false" ht="15" hidden="false" customHeight="false" outlineLevel="0" collapsed="false">
      <c r="A11" s="2" t="s">
        <v>139</v>
      </c>
      <c r="B11" s="19" t="n">
        <v>8</v>
      </c>
      <c r="C11" s="2"/>
      <c r="D11" s="2"/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false" outlineLevel="0" collapsed="false">
      <c r="A13" s="2" t="s">
        <v>147</v>
      </c>
      <c r="B13" s="2"/>
      <c r="C13" s="2"/>
      <c r="D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3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4" t="s">
        <v>150</v>
      </c>
      <c r="B4" s="4" t="s">
        <v>151</v>
      </c>
      <c r="C4" s="4" t="s">
        <v>152</v>
      </c>
      <c r="D4" s="4" t="s">
        <v>153</v>
      </c>
      <c r="E4" s="4" t="s">
        <v>154</v>
      </c>
      <c r="F4" s="4" t="s">
        <v>155</v>
      </c>
      <c r="G4" s="4" t="s">
        <v>156</v>
      </c>
      <c r="H4" s="4" t="s">
        <v>157</v>
      </c>
      <c r="I4" s="4" t="s">
        <v>158</v>
      </c>
      <c r="J4" s="4" t="s">
        <v>159</v>
      </c>
      <c r="K4" s="4" t="s">
        <v>160</v>
      </c>
      <c r="L4" s="4" t="s">
        <v>161</v>
      </c>
      <c r="M4" s="4" t="s">
        <v>162</v>
      </c>
      <c r="N4" s="4" t="s">
        <v>163</v>
      </c>
    </row>
    <row r="5" customFormat="false" ht="15" hidden="false" customHeight="false" outlineLevel="0" collapsed="false">
      <c r="A5" s="2" t="s">
        <v>71</v>
      </c>
      <c r="B5" s="2" t="n">
        <v>14.9</v>
      </c>
      <c r="C5" s="13" t="n">
        <v>0.53</v>
      </c>
      <c r="D5" s="13" t="n">
        <v>0.7</v>
      </c>
      <c r="E5" s="13" t="n">
        <v>0.79</v>
      </c>
      <c r="F5" s="13" t="n">
        <v>0.84</v>
      </c>
      <c r="G5" s="13" t="n">
        <v>0.87</v>
      </c>
      <c r="H5" s="13" t="n">
        <v>0.89</v>
      </c>
      <c r="I5" s="13" t="n">
        <v>0.16</v>
      </c>
      <c r="J5" s="13" t="n">
        <v>0.26</v>
      </c>
      <c r="K5" s="13" t="n">
        <v>0.32</v>
      </c>
      <c r="L5" s="13" t="n">
        <v>0.36</v>
      </c>
      <c r="M5" s="13" t="n">
        <v>0.4</v>
      </c>
      <c r="N5" s="13" t="n">
        <v>0.43</v>
      </c>
    </row>
    <row r="6" customFormat="false" ht="15" hidden="false" customHeight="false" outlineLevel="0" collapsed="false">
      <c r="A6" s="2" t="s">
        <v>72</v>
      </c>
      <c r="B6" s="2" t="n">
        <v>30.8</v>
      </c>
      <c r="C6" s="13" t="n">
        <v>0.71</v>
      </c>
      <c r="D6" s="13" t="n">
        <v>0.84</v>
      </c>
      <c r="E6" s="13" t="n">
        <v>0.9</v>
      </c>
      <c r="F6" s="13" t="n">
        <v>0.93</v>
      </c>
      <c r="G6" s="13" t="n">
        <v>0.95</v>
      </c>
      <c r="H6" s="13" t="n">
        <v>0.96</v>
      </c>
      <c r="I6" s="13" t="n">
        <v>0.26</v>
      </c>
      <c r="J6" s="13" t="n">
        <v>0.37</v>
      </c>
      <c r="K6" s="13" t="n">
        <v>0.43</v>
      </c>
      <c r="L6" s="13" t="n">
        <v>0.48</v>
      </c>
      <c r="M6" s="13" t="n">
        <v>0.52</v>
      </c>
      <c r="N6" s="13" t="n">
        <v>0.56</v>
      </c>
    </row>
    <row r="7" customFormat="false" ht="15" hidden="false" customHeight="false" outlineLevel="0" collapsed="false">
      <c r="A7" s="2" t="s">
        <v>73</v>
      </c>
      <c r="B7" s="2" t="n">
        <v>48.9</v>
      </c>
      <c r="C7" s="13" t="n">
        <v>0.8</v>
      </c>
      <c r="D7" s="13" t="n">
        <v>0.9</v>
      </c>
      <c r="E7" s="13" t="n">
        <v>0.94</v>
      </c>
      <c r="F7" s="13" t="n">
        <v>0.96</v>
      </c>
      <c r="G7" s="13" t="n">
        <v>0.97</v>
      </c>
      <c r="H7" s="13" t="n">
        <v>0.98</v>
      </c>
      <c r="I7" s="13" t="n">
        <v>0.33</v>
      </c>
      <c r="J7" s="13" t="n">
        <v>0.44</v>
      </c>
      <c r="K7" s="13" t="n">
        <v>0.52</v>
      </c>
      <c r="L7" s="13" t="n">
        <v>0.57</v>
      </c>
      <c r="M7" s="13" t="n">
        <v>0.61</v>
      </c>
      <c r="N7" s="13" t="n">
        <v>0.64</v>
      </c>
    </row>
    <row r="8" customFormat="false" ht="15" hidden="false" customHeight="false" outlineLevel="0" collapsed="false">
      <c r="A8" s="2" t="s">
        <v>74</v>
      </c>
      <c r="B8" s="2" t="n">
        <v>55.4</v>
      </c>
      <c r="C8" s="13" t="n">
        <v>0.83</v>
      </c>
      <c r="D8" s="13" t="n">
        <v>0.92</v>
      </c>
      <c r="E8" s="13" t="n">
        <v>0.95</v>
      </c>
      <c r="F8" s="13" t="n">
        <v>0.97</v>
      </c>
      <c r="G8" s="13" t="n">
        <v>0.98</v>
      </c>
      <c r="H8" s="13" t="n">
        <v>0.99</v>
      </c>
      <c r="I8" s="13" t="n">
        <v>0.35</v>
      </c>
      <c r="J8" s="13" t="n">
        <v>0.46</v>
      </c>
      <c r="K8" s="13" t="n">
        <v>0.54</v>
      </c>
      <c r="L8" s="13" t="n">
        <v>0.59</v>
      </c>
      <c r="M8" s="13" t="n">
        <v>0.63</v>
      </c>
      <c r="N8" s="13" t="n">
        <v>0.66</v>
      </c>
    </row>
    <row r="9" customFormat="false" ht="15" hidden="false" customHeight="false" outlineLevel="0" collapsed="false">
      <c r="A9" s="2" t="s">
        <v>164</v>
      </c>
      <c r="B9" s="2" t="n">
        <v>90.9</v>
      </c>
      <c r="C9" s="13" t="n">
        <v>0.9</v>
      </c>
      <c r="D9" s="13" t="n">
        <v>0.96</v>
      </c>
      <c r="E9" s="13" t="n">
        <v>0.98</v>
      </c>
      <c r="F9" s="13" t="n">
        <v>0.99</v>
      </c>
      <c r="G9" s="13" t="n">
        <v>0.99</v>
      </c>
      <c r="H9" s="13" t="n">
        <v>1</v>
      </c>
      <c r="I9" s="13" t="n">
        <v>0.43</v>
      </c>
      <c r="J9" s="13" t="n">
        <v>0.55</v>
      </c>
      <c r="K9" s="13" t="n">
        <v>0.62</v>
      </c>
      <c r="L9" s="13" t="n">
        <v>0.67</v>
      </c>
      <c r="M9" s="13" t="n">
        <v>0.71</v>
      </c>
      <c r="N9" s="13" t="n">
        <v>0.74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2026-10-07T23:27:44Z</dcterms:created>
  <dc:creator>openpyxl</dc:creator>
  <dc:description/>
  <dc:language>en-US</dc:language>
  <cp:lastModifiedBy/>
  <dcterms:modified xsi:type="dcterms:W3CDTF">2026-10-07T23:27:48Z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